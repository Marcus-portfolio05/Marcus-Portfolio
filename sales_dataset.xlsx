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set.csv" sheetId="1" r:id="rId4"/>
  </sheets>
  <definedNames/>
  <calcPr/>
</workbook>
</file>

<file path=xl/sharedStrings.xml><?xml version="1.0" encoding="utf-8"?>
<sst xmlns="http://schemas.openxmlformats.org/spreadsheetml/2006/main" count="43" uniqueCount="43">
  <si>
    <t>marketing budget (thousands)</t>
  </si>
  <si>
    <t>actual sales(millions)</t>
  </si>
  <si>
    <t>CLASS INTERVAL</t>
  </si>
  <si>
    <t>BIN</t>
  </si>
  <si>
    <t>FREQUENCY</t>
  </si>
  <si>
    <t>CM</t>
  </si>
  <si>
    <t>CB</t>
  </si>
  <si>
    <t>&lt;CF</t>
  </si>
  <si>
    <t>&gt;CF</t>
  </si>
  <si>
    <t>RF (%)</t>
  </si>
  <si>
    <t>101.91 - 131.40</t>
  </si>
  <si>
    <t>101.905 - 131.405</t>
  </si>
  <si>
    <t>131.41 - 160.90</t>
  </si>
  <si>
    <t>131.405 - 160.905</t>
  </si>
  <si>
    <t>160.91 - 190.40</t>
  </si>
  <si>
    <t>160.905 - 190.405</t>
  </si>
  <si>
    <t>190.41 - 219.90</t>
  </si>
  <si>
    <t>190.405 - 219.905</t>
  </si>
  <si>
    <t>219.91 - 249.40</t>
  </si>
  <si>
    <t>219.905 - 249.405</t>
  </si>
  <si>
    <t>249.41 - 278.90</t>
  </si>
  <si>
    <t>249.405 - 278.905</t>
  </si>
  <si>
    <t>278.91 - 308.40</t>
  </si>
  <si>
    <t>278.905 - 308.405</t>
  </si>
  <si>
    <t>308.41 - 337.90</t>
  </si>
  <si>
    <t>308.405 - 337.905</t>
  </si>
  <si>
    <t>337.91 - 367.40</t>
  </si>
  <si>
    <t>337.905 - 367.405</t>
  </si>
  <si>
    <t>367.41 - 396.90</t>
  </si>
  <si>
    <t>367.405 - 396.905</t>
  </si>
  <si>
    <t>MIN</t>
  </si>
  <si>
    <t>MAX</t>
  </si>
  <si>
    <t>RANGE</t>
  </si>
  <si>
    <t>MEAN</t>
  </si>
  <si>
    <t>MEDIAN</t>
  </si>
  <si>
    <t>MODE</t>
  </si>
  <si>
    <t>VARIANCE</t>
  </si>
  <si>
    <t>SD</t>
  </si>
  <si>
    <t>REGRESSION ANALYSIS</t>
  </si>
  <si>
    <t>CORRELATION:</t>
  </si>
  <si>
    <t>Sample Indpendent Variable</t>
  </si>
  <si>
    <t>Findings (Sales)</t>
  </si>
  <si>
    <t>Strong Positive Correlation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</si>
</sst>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2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2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2" fillId="0" fontId="1" numFmtId="2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sales(millions) vs. marketing budget (thousands)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sales_dataset.csv!$B$1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xVal>
            <c:numRef>
              <c:f>sales_dataset.csv!$A$2:$A$223</c:f>
            </c:numRef>
          </c:xVal>
          <c:yVal>
            <c:numRef>
              <c:f>sales_dataset.csv!$B$2:$B$223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115262"/>
        <c:axId val="1626446712"/>
      </c:scatterChart>
      <c:valAx>
        <c:axId val="19301152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marketing budget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446712"/>
      </c:valAx>
      <c:valAx>
        <c:axId val="1626446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sales(millions)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115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sales(millions) vs. marketing budget (thousands)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sales_dataset.csv!$B$1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sales_dataset.csv!$A$2:$A$223</c:f>
            </c:strRef>
          </c:cat>
          <c:val>
            <c:numRef>
              <c:f>sales_dataset.csv!$B$2:$B$223</c:f>
              <c:numCache/>
            </c:numRef>
          </c:val>
          <c:smooth val="0"/>
        </c:ser>
        <c:axId val="976361327"/>
        <c:axId val="1988295801"/>
      </c:lineChart>
      <c:catAx>
        <c:axId val="976361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marketing budget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295801"/>
      </c:catAx>
      <c:valAx>
        <c:axId val="1988295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sales(millions)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361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sales(millions) vs. marketing budget (thousands)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sales_dataset.csv!$B$1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sales_dataset.csv!$A$2:$A$223</c:f>
            </c:strRef>
          </c:cat>
          <c:val>
            <c:numRef>
              <c:f>sales_dataset.csv!$B$2:$B$223</c:f>
              <c:numCache/>
            </c:numRef>
          </c:val>
        </c:ser>
        <c:axId val="1117123297"/>
        <c:axId val="1731918552"/>
      </c:areaChart>
      <c:catAx>
        <c:axId val="1117123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marketing budget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918552"/>
      </c:catAx>
      <c:valAx>
        <c:axId val="1731918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sales(millions)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123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257175</xdr:colOff>
      <xdr:row>5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809625</xdr:colOff>
      <xdr:row>6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  <col customWidth="1" min="8" max="8" width="15.0"/>
  </cols>
  <sheetData>
    <row r="1">
      <c r="A1" s="1" t="s">
        <v>0</v>
      </c>
      <c r="B1" s="1" t="s">
        <v>1</v>
      </c>
    </row>
    <row r="2">
      <c r="A2" s="1">
        <v>101.91</v>
      </c>
      <c r="B2" s="1">
        <v>8.33</v>
      </c>
    </row>
    <row r="3">
      <c r="A3" s="1">
        <v>106.87</v>
      </c>
      <c r="B3" s="1">
        <v>11.3</v>
      </c>
    </row>
    <row r="4">
      <c r="A4" s="1">
        <v>108.68</v>
      </c>
      <c r="B4" s="1">
        <v>9.07</v>
      </c>
    </row>
    <row r="5">
      <c r="A5" s="1">
        <v>109.49</v>
      </c>
      <c r="B5" s="1">
        <v>12.02</v>
      </c>
    </row>
    <row r="6">
      <c r="A6" s="1">
        <v>110.54</v>
      </c>
      <c r="B6" s="1">
        <v>11.32</v>
      </c>
    </row>
    <row r="7">
      <c r="A7" s="1">
        <v>110.85</v>
      </c>
      <c r="B7" s="1">
        <v>8.82</v>
      </c>
    </row>
    <row r="8">
      <c r="A8" s="1">
        <v>115.51</v>
      </c>
      <c r="B8" s="1">
        <v>9.9</v>
      </c>
    </row>
    <row r="9">
      <c r="A9" s="1">
        <v>127.19</v>
      </c>
      <c r="B9" s="1">
        <v>9.44</v>
      </c>
    </row>
    <row r="10">
      <c r="A10" s="1">
        <v>131.56</v>
      </c>
      <c r="B10" s="1">
        <v>11.42</v>
      </c>
    </row>
    <row r="11">
      <c r="A11" s="1">
        <v>132.42</v>
      </c>
      <c r="B11" s="1">
        <v>8.32</v>
      </c>
    </row>
    <row r="12">
      <c r="A12" s="1">
        <v>132.58</v>
      </c>
      <c r="B12" s="1">
        <v>11.99</v>
      </c>
    </row>
    <row r="13">
      <c r="A13" s="1">
        <v>135.15</v>
      </c>
      <c r="B13" s="1">
        <v>8.55</v>
      </c>
    </row>
    <row r="14">
      <c r="A14" s="1">
        <v>138.0</v>
      </c>
      <c r="B14" s="1">
        <v>8.38</v>
      </c>
    </row>
    <row r="15">
      <c r="A15" s="1">
        <v>138.13</v>
      </c>
      <c r="B15" s="1">
        <v>12.33</v>
      </c>
    </row>
    <row r="16">
      <c r="A16" s="1">
        <v>140.09</v>
      </c>
      <c r="B16" s="1">
        <v>10.93</v>
      </c>
    </row>
    <row r="17">
      <c r="A17" s="1">
        <v>141.62</v>
      </c>
      <c r="B17" s="1">
        <v>9.7</v>
      </c>
    </row>
    <row r="18">
      <c r="A18" s="1">
        <v>145.0</v>
      </c>
      <c r="B18" s="1">
        <v>9.88</v>
      </c>
    </row>
    <row r="19">
      <c r="A19" s="1">
        <v>147.05</v>
      </c>
      <c r="B19" s="1">
        <v>9.01</v>
      </c>
    </row>
    <row r="20">
      <c r="A20" s="1">
        <v>150.89</v>
      </c>
      <c r="B20" s="1">
        <v>14.62</v>
      </c>
    </row>
    <row r="21">
      <c r="A21" s="1">
        <v>151.5</v>
      </c>
      <c r="B21" s="1">
        <v>12.57</v>
      </c>
      <c r="D21" s="2"/>
      <c r="E21" s="3"/>
      <c r="F21" s="3"/>
      <c r="G21" s="3"/>
      <c r="H21" s="3"/>
      <c r="I21" s="3"/>
      <c r="J21" s="3"/>
    </row>
    <row r="22">
      <c r="A22" s="1">
        <v>152.32</v>
      </c>
      <c r="B22" s="1">
        <v>13.59</v>
      </c>
      <c r="D22" s="3"/>
      <c r="E22" s="3"/>
      <c r="F22" s="3"/>
      <c r="G22" s="3"/>
      <c r="H22" s="3"/>
      <c r="I22" s="3"/>
      <c r="J22" s="3"/>
    </row>
    <row r="23">
      <c r="A23" s="1">
        <v>153.62</v>
      </c>
      <c r="B23" s="1">
        <v>8.87</v>
      </c>
      <c r="D23" s="3"/>
      <c r="E23" s="3"/>
      <c r="F23" s="3"/>
      <c r="G23" s="3"/>
      <c r="H23" s="3"/>
      <c r="I23" s="3"/>
      <c r="J23" s="3"/>
    </row>
    <row r="24">
      <c r="A24" s="1">
        <v>153.9</v>
      </c>
      <c r="B24" s="1">
        <v>12.3</v>
      </c>
      <c r="D24" s="3"/>
      <c r="E24" s="3"/>
      <c r="F24" s="3"/>
      <c r="G24" s="3"/>
      <c r="H24" s="3"/>
      <c r="I24" s="3"/>
      <c r="J24" s="3"/>
    </row>
    <row r="25">
      <c r="A25" s="1">
        <v>154.63</v>
      </c>
      <c r="B25" s="1">
        <v>12.96</v>
      </c>
      <c r="D25" s="3"/>
      <c r="E25" s="3"/>
      <c r="F25" s="3"/>
      <c r="G25" s="3"/>
      <c r="H25" s="3"/>
      <c r="I25" s="3"/>
      <c r="J25" s="3"/>
    </row>
    <row r="26">
      <c r="A26" s="1">
        <v>156.3</v>
      </c>
      <c r="B26" s="1">
        <v>11.87</v>
      </c>
      <c r="D26" s="4" t="s">
        <v>2</v>
      </c>
      <c r="E26" s="4" t="s">
        <v>3</v>
      </c>
      <c r="F26" s="4" t="s">
        <v>4</v>
      </c>
      <c r="G26" s="4" t="s">
        <v>5</v>
      </c>
      <c r="H26" s="4" t="s">
        <v>6</v>
      </c>
      <c r="I26" s="4" t="s">
        <v>7</v>
      </c>
      <c r="J26" s="4" t="s">
        <v>8</v>
      </c>
      <c r="K26" s="4" t="s">
        <v>9</v>
      </c>
    </row>
    <row r="27">
      <c r="A27" s="1">
        <v>159.72</v>
      </c>
      <c r="B27" s="1">
        <v>10.21</v>
      </c>
      <c r="D27" s="4" t="s">
        <v>10</v>
      </c>
      <c r="E27" s="5">
        <v>131.4</v>
      </c>
      <c r="F27" s="6">
        <f t="array" ref="F27:F37">FREQUENCY($A$2:$A$223,E27:E36)</f>
        <v>8</v>
      </c>
      <c r="G27" s="6">
        <f>(101.9+131.4)/2</f>
        <v>116.65</v>
      </c>
      <c r="H27" s="4" t="s">
        <v>11</v>
      </c>
      <c r="I27" s="4">
        <v>8.0</v>
      </c>
      <c r="J27" s="4">
        <v>222.0</v>
      </c>
      <c r="K27" s="7">
        <f t="shared" ref="K27:K36" si="1">(F27/222)*100</f>
        <v>3.603603604</v>
      </c>
    </row>
    <row r="28">
      <c r="A28" s="1">
        <v>160.84</v>
      </c>
      <c r="B28" s="1">
        <v>14.26</v>
      </c>
      <c r="D28" s="4" t="s">
        <v>12</v>
      </c>
      <c r="E28" s="5">
        <v>160.9</v>
      </c>
      <c r="F28" s="6">
        <v>19.0</v>
      </c>
      <c r="G28" s="4">
        <v>146.155</v>
      </c>
      <c r="H28" s="4" t="s">
        <v>13</v>
      </c>
      <c r="I28" s="4">
        <f>8+19</f>
        <v>27</v>
      </c>
      <c r="J28" s="4">
        <v>214.0</v>
      </c>
      <c r="K28" s="7">
        <f t="shared" si="1"/>
        <v>8.558558559</v>
      </c>
    </row>
    <row r="29">
      <c r="A29" s="1">
        <v>160.94</v>
      </c>
      <c r="B29" s="1">
        <v>11.66</v>
      </c>
      <c r="D29" s="4" t="s">
        <v>14</v>
      </c>
      <c r="E29" s="5">
        <v>190.4</v>
      </c>
      <c r="F29" s="6">
        <v>30.0</v>
      </c>
      <c r="G29" s="4">
        <v>175.655</v>
      </c>
      <c r="H29" s="4" t="s">
        <v>15</v>
      </c>
      <c r="I29" s="4">
        <v>57.0</v>
      </c>
      <c r="J29" s="4">
        <v>195.0</v>
      </c>
      <c r="K29" s="7">
        <f t="shared" si="1"/>
        <v>13.51351351</v>
      </c>
    </row>
    <row r="30">
      <c r="A30" s="1">
        <v>160.97</v>
      </c>
      <c r="B30" s="1">
        <v>12.24</v>
      </c>
      <c r="D30" s="4" t="s">
        <v>16</v>
      </c>
      <c r="E30" s="5">
        <v>219.4</v>
      </c>
      <c r="F30" s="6">
        <v>22.0</v>
      </c>
      <c r="G30" s="4">
        <v>205.155</v>
      </c>
      <c r="H30" s="4" t="s">
        <v>17</v>
      </c>
      <c r="I30" s="4">
        <v>79.0</v>
      </c>
      <c r="J30" s="4">
        <v>165.0</v>
      </c>
      <c r="K30" s="7">
        <f t="shared" si="1"/>
        <v>9.90990991</v>
      </c>
    </row>
    <row r="31">
      <c r="A31" s="1">
        <v>161.48</v>
      </c>
      <c r="B31" s="1">
        <v>11.15</v>
      </c>
      <c r="D31" s="4" t="s">
        <v>18</v>
      </c>
      <c r="E31" s="5">
        <v>249.4</v>
      </c>
      <c r="F31" s="6">
        <v>22.0</v>
      </c>
      <c r="G31" s="4">
        <v>234.655</v>
      </c>
      <c r="H31" s="4" t="s">
        <v>19</v>
      </c>
      <c r="I31" s="4">
        <v>101.0</v>
      </c>
      <c r="J31" s="4">
        <v>143.0</v>
      </c>
      <c r="K31" s="7">
        <f t="shared" si="1"/>
        <v>9.90990991</v>
      </c>
    </row>
    <row r="32">
      <c r="A32" s="1">
        <v>163.05</v>
      </c>
      <c r="B32" s="1">
        <v>13.35</v>
      </c>
      <c r="D32" s="4" t="s">
        <v>20</v>
      </c>
      <c r="E32" s="5">
        <v>278.9</v>
      </c>
      <c r="F32" s="6">
        <v>24.0</v>
      </c>
      <c r="G32" s="4">
        <v>264.155</v>
      </c>
      <c r="H32" s="4" t="s">
        <v>21</v>
      </c>
      <c r="I32" s="4">
        <v>125.0</v>
      </c>
      <c r="J32" s="4">
        <v>121.0</v>
      </c>
      <c r="K32" s="7">
        <f t="shared" si="1"/>
        <v>10.81081081</v>
      </c>
    </row>
    <row r="33">
      <c r="A33" s="1">
        <v>163.35</v>
      </c>
      <c r="B33" s="1">
        <v>14.06</v>
      </c>
      <c r="D33" s="4" t="s">
        <v>22</v>
      </c>
      <c r="E33" s="5">
        <v>308.4</v>
      </c>
      <c r="F33" s="6">
        <v>26.0</v>
      </c>
      <c r="G33" s="4">
        <v>293.655</v>
      </c>
      <c r="H33" s="4" t="s">
        <v>23</v>
      </c>
      <c r="I33" s="4">
        <v>151.0</v>
      </c>
      <c r="J33" s="4">
        <v>97.0</v>
      </c>
      <c r="K33" s="7">
        <f t="shared" si="1"/>
        <v>11.71171171</v>
      </c>
    </row>
    <row r="34">
      <c r="A34" s="1">
        <v>163.44</v>
      </c>
      <c r="B34" s="1">
        <v>14.07</v>
      </c>
      <c r="D34" s="4" t="s">
        <v>24</v>
      </c>
      <c r="E34" s="5">
        <v>337.9</v>
      </c>
      <c r="F34" s="6">
        <v>32.0</v>
      </c>
      <c r="G34" s="4">
        <v>323.155</v>
      </c>
      <c r="H34" s="4" t="s">
        <v>25</v>
      </c>
      <c r="I34" s="4">
        <v>183.0</v>
      </c>
      <c r="J34" s="4">
        <v>71.0</v>
      </c>
      <c r="K34" s="7">
        <f t="shared" si="1"/>
        <v>14.41441441</v>
      </c>
    </row>
    <row r="35">
      <c r="A35" s="1">
        <v>164.48</v>
      </c>
      <c r="B35" s="1">
        <v>10.14</v>
      </c>
      <c r="D35" s="4" t="s">
        <v>26</v>
      </c>
      <c r="E35" s="5">
        <v>367.4</v>
      </c>
      <c r="F35" s="6">
        <v>21.0</v>
      </c>
      <c r="G35" s="4">
        <v>352.655</v>
      </c>
      <c r="H35" s="4" t="s">
        <v>27</v>
      </c>
      <c r="I35" s="4">
        <v>204.0</v>
      </c>
      <c r="J35" s="4">
        <v>39.0</v>
      </c>
      <c r="K35" s="7">
        <f t="shared" si="1"/>
        <v>9.459459459</v>
      </c>
    </row>
    <row r="36">
      <c r="A36" s="1">
        <v>166.57</v>
      </c>
      <c r="B36" s="1">
        <v>13.63</v>
      </c>
      <c r="D36" s="4" t="s">
        <v>28</v>
      </c>
      <c r="E36" s="5">
        <v>396.9</v>
      </c>
      <c r="F36" s="6">
        <v>18.0</v>
      </c>
      <c r="G36" s="4">
        <v>382.155</v>
      </c>
      <c r="H36" s="4" t="s">
        <v>29</v>
      </c>
      <c r="I36" s="4">
        <v>222.0</v>
      </c>
      <c r="J36" s="4">
        <v>18.0</v>
      </c>
      <c r="K36" s="7">
        <f t="shared" si="1"/>
        <v>8.108108108</v>
      </c>
    </row>
    <row r="37">
      <c r="A37" s="1">
        <v>167.45</v>
      </c>
      <c r="B37" s="1">
        <v>11.26</v>
      </c>
      <c r="E37" s="3"/>
      <c r="F37" s="3">
        <v>0.0</v>
      </c>
      <c r="G37" s="3"/>
      <c r="H37" s="3"/>
      <c r="K37" s="3"/>
    </row>
    <row r="38">
      <c r="A38" s="1">
        <v>167.53</v>
      </c>
      <c r="B38" s="1">
        <v>13.49</v>
      </c>
    </row>
    <row r="39">
      <c r="A39" s="1">
        <v>168.3</v>
      </c>
      <c r="B39" s="1">
        <v>10.45</v>
      </c>
      <c r="D39" s="5" t="s">
        <v>30</v>
      </c>
      <c r="E39" s="5" t="s">
        <v>31</v>
      </c>
      <c r="F39" s="4" t="s">
        <v>32</v>
      </c>
      <c r="G39" s="5" t="s">
        <v>33</v>
      </c>
      <c r="H39" s="5" t="s">
        <v>34</v>
      </c>
      <c r="I39" s="5" t="s">
        <v>35</v>
      </c>
      <c r="J39" s="5" t="s">
        <v>36</v>
      </c>
      <c r="K39" s="5" t="s">
        <v>37</v>
      </c>
    </row>
    <row r="40">
      <c r="A40" s="1">
        <v>168.55</v>
      </c>
      <c r="B40" s="1">
        <v>11.56</v>
      </c>
      <c r="D40" s="7">
        <f>MIN(A2:A223)</f>
        <v>101.91</v>
      </c>
      <c r="E40" s="7">
        <f>MAX(A2:A223)</f>
        <v>396.88</v>
      </c>
      <c r="F40" s="7">
        <f>E40-D40</f>
        <v>294.97</v>
      </c>
      <c r="G40" s="7">
        <f>(SUM(A2:A223))/222</f>
        <v>257.9928829</v>
      </c>
      <c r="H40" s="7">
        <f>MEDIAN(A2:A223)</f>
        <v>262.485</v>
      </c>
      <c r="I40" s="7">
        <f>MODE(A2:A223)</f>
        <v>287.93</v>
      </c>
      <c r="J40" s="7">
        <f>VAR(A2:A223)</f>
        <v>6152.725592</v>
      </c>
      <c r="K40" s="7">
        <f>STDEV(A2:A223)</f>
        <v>78.43931152</v>
      </c>
    </row>
    <row r="41">
      <c r="A41" s="1">
        <v>170.92</v>
      </c>
      <c r="B41" s="1">
        <v>11.57</v>
      </c>
      <c r="D41" s="3"/>
      <c r="E41" s="3"/>
      <c r="F41" s="3"/>
      <c r="G41" s="3"/>
      <c r="H41" s="3"/>
    </row>
    <row r="42">
      <c r="A42" s="1">
        <v>171.34</v>
      </c>
      <c r="B42" s="1">
        <v>10.34</v>
      </c>
      <c r="D42" s="3"/>
      <c r="E42" s="3"/>
      <c r="F42" s="3"/>
      <c r="G42" s="3"/>
      <c r="H42" s="3"/>
    </row>
    <row r="43">
      <c r="A43" s="1">
        <v>177.89</v>
      </c>
      <c r="B43" s="1">
        <v>8.41</v>
      </c>
      <c r="D43" s="8" t="s">
        <v>38</v>
      </c>
      <c r="E43" s="9"/>
      <c r="F43" s="9"/>
      <c r="G43" s="10"/>
      <c r="H43" s="2"/>
    </row>
    <row r="44">
      <c r="A44" s="1">
        <v>179.12</v>
      </c>
      <c r="B44" s="1">
        <v>10.83</v>
      </c>
      <c r="D44" s="11" t="s">
        <v>39</v>
      </c>
      <c r="E44" s="10"/>
      <c r="F44" s="12" t="s">
        <v>40</v>
      </c>
      <c r="G44" s="13" t="s">
        <v>41</v>
      </c>
    </row>
    <row r="45">
      <c r="A45" s="1">
        <v>179.32</v>
      </c>
      <c r="B45" s="1">
        <v>8.85</v>
      </c>
      <c r="D45" s="14">
        <f>CORREL(A2:A223,B2:B223)</f>
        <v>0.8367015223</v>
      </c>
      <c r="E45" s="10"/>
      <c r="F45" s="2">
        <v>122.98</v>
      </c>
      <c r="G45" s="15">
        <f t="shared" ref="G45:G49" si="2">(0.0495*F45)+3.32</f>
        <v>9.40751</v>
      </c>
    </row>
    <row r="46">
      <c r="A46" s="1">
        <v>181.13</v>
      </c>
      <c r="B46" s="1">
        <v>8.9</v>
      </c>
      <c r="D46" s="16" t="s">
        <v>42</v>
      </c>
      <c r="E46" s="17"/>
      <c r="F46" s="13">
        <v>258.47</v>
      </c>
      <c r="G46" s="15">
        <f t="shared" si="2"/>
        <v>16.114265</v>
      </c>
    </row>
    <row r="47">
      <c r="A47" s="1">
        <v>181.34</v>
      </c>
      <c r="B47" s="1">
        <v>10.6</v>
      </c>
      <c r="D47" s="18"/>
      <c r="E47" s="19"/>
      <c r="F47" s="13">
        <v>340.56</v>
      </c>
      <c r="G47" s="15">
        <f t="shared" si="2"/>
        <v>20.17772</v>
      </c>
    </row>
    <row r="48">
      <c r="A48" s="1">
        <v>182.2</v>
      </c>
      <c r="B48" s="1">
        <v>13.22</v>
      </c>
      <c r="D48" s="18"/>
      <c r="E48" s="19"/>
      <c r="F48" s="13">
        <v>400.0</v>
      </c>
      <c r="G48" s="15">
        <f t="shared" si="2"/>
        <v>23.12</v>
      </c>
    </row>
    <row r="49">
      <c r="A49" s="1">
        <v>182.29</v>
      </c>
      <c r="B49" s="1">
        <v>10.34</v>
      </c>
      <c r="D49" s="20"/>
      <c r="E49" s="21"/>
      <c r="F49" s="13">
        <v>450.0</v>
      </c>
      <c r="G49" s="15">
        <f t="shared" si="2"/>
        <v>25.595</v>
      </c>
    </row>
    <row r="50">
      <c r="A50" s="1">
        <v>184.42</v>
      </c>
      <c r="B50" s="1">
        <v>12.87</v>
      </c>
    </row>
    <row r="51">
      <c r="A51" s="1">
        <v>185.43</v>
      </c>
      <c r="B51" s="1">
        <v>13.42</v>
      </c>
    </row>
    <row r="52">
      <c r="A52" s="1">
        <v>186.15</v>
      </c>
      <c r="B52" s="1">
        <v>11.03</v>
      </c>
    </row>
    <row r="53">
      <c r="A53" s="1">
        <v>187.15</v>
      </c>
      <c r="B53" s="1">
        <v>12.55</v>
      </c>
    </row>
    <row r="54">
      <c r="A54" s="1">
        <v>187.66</v>
      </c>
      <c r="B54" s="1">
        <v>13.27</v>
      </c>
    </row>
    <row r="55">
      <c r="A55" s="1">
        <v>187.86</v>
      </c>
      <c r="B55" s="1">
        <v>12.14</v>
      </c>
    </row>
    <row r="56">
      <c r="A56" s="1">
        <v>187.92</v>
      </c>
      <c r="B56" s="1">
        <v>13.28</v>
      </c>
    </row>
    <row r="57">
      <c r="A57" s="1">
        <v>189.57</v>
      </c>
      <c r="B57" s="1">
        <v>11.09</v>
      </c>
    </row>
    <row r="58">
      <c r="A58" s="1">
        <v>189.63</v>
      </c>
      <c r="B58" s="1">
        <v>14.84</v>
      </c>
    </row>
    <row r="59">
      <c r="A59" s="1">
        <v>191.22</v>
      </c>
      <c r="B59" s="1">
        <v>8.36</v>
      </c>
    </row>
    <row r="60">
      <c r="A60" s="1">
        <v>191.26</v>
      </c>
      <c r="B60" s="1">
        <v>8.01</v>
      </c>
    </row>
    <row r="61">
      <c r="A61" s="1">
        <v>191.27</v>
      </c>
      <c r="B61" s="1">
        <v>10.66</v>
      </c>
    </row>
    <row r="62">
      <c r="A62" s="1">
        <v>192.21</v>
      </c>
      <c r="B62" s="1">
        <v>11.9</v>
      </c>
    </row>
    <row r="63">
      <c r="A63" s="1">
        <v>195.65</v>
      </c>
      <c r="B63" s="1">
        <v>9.71</v>
      </c>
    </row>
    <row r="64">
      <c r="A64" s="1">
        <v>197.06</v>
      </c>
      <c r="B64" s="1">
        <v>10.19</v>
      </c>
    </row>
    <row r="65">
      <c r="A65" s="1">
        <v>197.1</v>
      </c>
      <c r="B65" s="1">
        <v>11.37</v>
      </c>
    </row>
    <row r="66">
      <c r="A66" s="1">
        <v>202.82</v>
      </c>
      <c r="B66" s="1">
        <v>12.49</v>
      </c>
    </row>
    <row r="67">
      <c r="A67" s="1">
        <v>204.82</v>
      </c>
      <c r="B67" s="1">
        <v>18.18</v>
      </c>
    </row>
    <row r="68">
      <c r="A68" s="1">
        <v>205.29</v>
      </c>
      <c r="B68" s="1">
        <v>12.86</v>
      </c>
    </row>
    <row r="69">
      <c r="A69" s="1">
        <v>205.36</v>
      </c>
      <c r="B69" s="1">
        <v>14.83</v>
      </c>
    </row>
    <row r="70">
      <c r="A70" s="1">
        <v>206.76</v>
      </c>
      <c r="B70" s="1">
        <v>15.1</v>
      </c>
    </row>
    <row r="71">
      <c r="A71" s="1">
        <v>207.11</v>
      </c>
      <c r="B71" s="1">
        <v>16.78</v>
      </c>
    </row>
    <row r="72">
      <c r="A72" s="1">
        <v>208.28</v>
      </c>
      <c r="B72" s="1">
        <v>13.73</v>
      </c>
    </row>
    <row r="73">
      <c r="A73" s="1">
        <v>210.99</v>
      </c>
      <c r="B73" s="1">
        <v>10.29</v>
      </c>
    </row>
    <row r="74">
      <c r="A74" s="1">
        <v>211.02</v>
      </c>
      <c r="B74" s="1">
        <v>13.2</v>
      </c>
    </row>
    <row r="75">
      <c r="A75" s="1">
        <v>212.2</v>
      </c>
      <c r="B75" s="1">
        <v>12.06</v>
      </c>
    </row>
    <row r="76">
      <c r="A76" s="1">
        <v>213.65</v>
      </c>
      <c r="B76" s="1">
        <v>13.06</v>
      </c>
    </row>
    <row r="77">
      <c r="A77" s="1">
        <v>214.61</v>
      </c>
      <c r="B77" s="1">
        <v>14.68</v>
      </c>
    </row>
    <row r="78">
      <c r="A78" s="1">
        <v>215.91</v>
      </c>
      <c r="B78" s="1">
        <v>13.03</v>
      </c>
    </row>
    <row r="79">
      <c r="A79" s="1">
        <v>216.02</v>
      </c>
      <c r="B79" s="1">
        <v>10.13</v>
      </c>
    </row>
    <row r="80">
      <c r="A80" s="1">
        <v>219.15</v>
      </c>
      <c r="B80" s="1">
        <v>12.88</v>
      </c>
    </row>
    <row r="81">
      <c r="A81" s="1">
        <v>220.72</v>
      </c>
      <c r="B81" s="1">
        <v>13.55</v>
      </c>
    </row>
    <row r="82">
      <c r="A82" s="1">
        <v>221.21</v>
      </c>
      <c r="B82" s="1">
        <v>17.48</v>
      </c>
    </row>
    <row r="83">
      <c r="A83" s="1">
        <v>221.88</v>
      </c>
      <c r="B83" s="1">
        <v>12.56</v>
      </c>
    </row>
    <row r="84">
      <c r="A84" s="1">
        <v>222.88</v>
      </c>
      <c r="B84" s="1">
        <v>12.43</v>
      </c>
    </row>
    <row r="85">
      <c r="A85" s="1">
        <v>223.3</v>
      </c>
      <c r="B85" s="1">
        <v>17.06</v>
      </c>
    </row>
    <row r="86">
      <c r="A86" s="1">
        <v>223.91</v>
      </c>
      <c r="B86" s="1">
        <v>17.01</v>
      </c>
    </row>
    <row r="87">
      <c r="A87" s="1">
        <v>223.94</v>
      </c>
      <c r="B87" s="1">
        <v>10.07</v>
      </c>
    </row>
    <row r="88">
      <c r="A88" s="1">
        <v>224.23</v>
      </c>
      <c r="B88" s="1">
        <v>14.14</v>
      </c>
    </row>
    <row r="89">
      <c r="A89" s="1">
        <v>224.52</v>
      </c>
      <c r="B89" s="1">
        <v>14.86</v>
      </c>
    </row>
    <row r="90">
      <c r="A90" s="1">
        <v>224.62</v>
      </c>
      <c r="B90" s="1">
        <v>17.57</v>
      </c>
    </row>
    <row r="91">
      <c r="A91" s="1">
        <v>231.81</v>
      </c>
      <c r="B91" s="1">
        <v>10.3</v>
      </c>
    </row>
    <row r="92">
      <c r="A92" s="1">
        <v>236.79</v>
      </c>
      <c r="B92" s="1">
        <v>14.9</v>
      </c>
    </row>
    <row r="93">
      <c r="A93" s="1">
        <v>240.21</v>
      </c>
      <c r="B93" s="1">
        <v>14.18</v>
      </c>
    </row>
    <row r="94">
      <c r="A94" s="1">
        <v>240.51</v>
      </c>
      <c r="B94" s="1">
        <v>13.62</v>
      </c>
    </row>
    <row r="95">
      <c r="A95" s="1">
        <v>240.92</v>
      </c>
      <c r="B95" s="1">
        <v>13.74</v>
      </c>
    </row>
    <row r="96">
      <c r="A96" s="1">
        <v>241.44</v>
      </c>
      <c r="B96" s="1">
        <v>14.1</v>
      </c>
    </row>
    <row r="97">
      <c r="A97" s="1">
        <v>242.03</v>
      </c>
      <c r="B97" s="1">
        <v>14.02</v>
      </c>
    </row>
    <row r="98">
      <c r="A98" s="1">
        <v>244.97</v>
      </c>
      <c r="B98" s="1">
        <v>16.13</v>
      </c>
    </row>
    <row r="99">
      <c r="A99" s="1">
        <v>245.9</v>
      </c>
      <c r="B99" s="1">
        <v>13.13</v>
      </c>
    </row>
    <row r="100">
      <c r="A100" s="1">
        <v>247.53</v>
      </c>
      <c r="B100" s="1">
        <v>13.08</v>
      </c>
    </row>
    <row r="101">
      <c r="A101" s="1">
        <v>247.81</v>
      </c>
      <c r="B101" s="1">
        <v>14.06</v>
      </c>
    </row>
    <row r="102">
      <c r="A102" s="1">
        <v>248.73</v>
      </c>
      <c r="B102" s="1">
        <v>14.42</v>
      </c>
    </row>
    <row r="103">
      <c r="A103" s="1">
        <v>249.64</v>
      </c>
      <c r="B103" s="1">
        <v>12.17</v>
      </c>
    </row>
    <row r="104">
      <c r="A104" s="1">
        <v>249.77</v>
      </c>
      <c r="B104" s="1">
        <v>10.03</v>
      </c>
    </row>
    <row r="105">
      <c r="A105" s="1">
        <v>250.24</v>
      </c>
      <c r="B105" s="1">
        <v>14.7</v>
      </c>
    </row>
    <row r="106">
      <c r="A106" s="1">
        <v>250.81</v>
      </c>
      <c r="B106" s="1">
        <v>18.55</v>
      </c>
    </row>
    <row r="107">
      <c r="A107" s="1">
        <v>254.47</v>
      </c>
      <c r="B107" s="1">
        <v>17.29</v>
      </c>
    </row>
    <row r="108">
      <c r="A108" s="1">
        <v>257.91</v>
      </c>
      <c r="B108" s="1">
        <v>16.51</v>
      </c>
    </row>
    <row r="109">
      <c r="A109" s="1">
        <v>257.95</v>
      </c>
      <c r="B109" s="1">
        <v>20.61</v>
      </c>
    </row>
    <row r="110">
      <c r="A110" s="1">
        <v>259.28</v>
      </c>
      <c r="B110" s="1">
        <v>18.71</v>
      </c>
    </row>
    <row r="111">
      <c r="A111" s="1">
        <v>259.98</v>
      </c>
      <c r="B111" s="1">
        <v>17.07</v>
      </c>
    </row>
    <row r="112">
      <c r="A112" s="1">
        <v>260.44</v>
      </c>
      <c r="B112" s="1">
        <v>21.5</v>
      </c>
    </row>
    <row r="113">
      <c r="A113" s="1">
        <v>264.53</v>
      </c>
      <c r="B113" s="1">
        <v>14.4</v>
      </c>
    </row>
    <row r="114">
      <c r="A114" s="1">
        <v>264.98</v>
      </c>
      <c r="B114" s="1">
        <v>16.74</v>
      </c>
    </row>
    <row r="115">
      <c r="A115" s="1">
        <v>265.63</v>
      </c>
      <c r="B115" s="1">
        <v>20.79</v>
      </c>
    </row>
    <row r="116">
      <c r="A116" s="1">
        <v>266.42</v>
      </c>
      <c r="B116" s="1">
        <v>19.12</v>
      </c>
    </row>
    <row r="117">
      <c r="A117" s="1">
        <v>266.58</v>
      </c>
      <c r="B117" s="1">
        <v>18.78</v>
      </c>
    </row>
    <row r="118">
      <c r="A118" s="1">
        <v>267.24</v>
      </c>
      <c r="B118" s="1">
        <v>17.68</v>
      </c>
    </row>
    <row r="119">
      <c r="A119" s="1">
        <v>269.04</v>
      </c>
      <c r="B119" s="1">
        <v>16.04</v>
      </c>
    </row>
    <row r="120">
      <c r="A120" s="1">
        <v>269.71</v>
      </c>
      <c r="B120" s="1">
        <v>15.66</v>
      </c>
    </row>
    <row r="121">
      <c r="A121" s="1">
        <v>271.48</v>
      </c>
      <c r="B121" s="1">
        <v>14.04</v>
      </c>
    </row>
    <row r="122">
      <c r="A122" s="1">
        <v>271.52</v>
      </c>
      <c r="B122" s="1">
        <v>19.08</v>
      </c>
    </row>
    <row r="123">
      <c r="A123" s="1">
        <v>271.9</v>
      </c>
      <c r="B123" s="1">
        <v>19.19</v>
      </c>
    </row>
    <row r="124">
      <c r="A124" s="1">
        <v>271.94</v>
      </c>
      <c r="B124" s="1">
        <v>19.43</v>
      </c>
    </row>
    <row r="125">
      <c r="A125" s="1">
        <v>272.68</v>
      </c>
      <c r="B125" s="1">
        <v>15.14</v>
      </c>
    </row>
    <row r="126">
      <c r="A126" s="1">
        <v>276.92</v>
      </c>
      <c r="B126" s="1">
        <v>17.54</v>
      </c>
    </row>
    <row r="127">
      <c r="A127" s="1">
        <v>279.47</v>
      </c>
      <c r="B127" s="1">
        <v>14.75</v>
      </c>
    </row>
    <row r="128">
      <c r="A128" s="1">
        <v>280.51</v>
      </c>
      <c r="B128" s="1">
        <v>19.82</v>
      </c>
    </row>
    <row r="129">
      <c r="A129" s="1">
        <v>283.08</v>
      </c>
      <c r="B129" s="1">
        <v>19.44</v>
      </c>
    </row>
    <row r="130">
      <c r="A130" s="1">
        <v>283.69</v>
      </c>
      <c r="B130" s="1">
        <v>16.84</v>
      </c>
    </row>
    <row r="131">
      <c r="A131" s="1">
        <v>285.34</v>
      </c>
      <c r="B131" s="1">
        <v>15.34</v>
      </c>
    </row>
    <row r="132">
      <c r="A132" s="1">
        <v>286.33</v>
      </c>
      <c r="B132" s="1">
        <v>14.66</v>
      </c>
    </row>
    <row r="133">
      <c r="A133" s="1">
        <v>287.93</v>
      </c>
      <c r="B133" s="1">
        <v>20.66</v>
      </c>
    </row>
    <row r="134">
      <c r="A134" s="1">
        <v>287.93</v>
      </c>
      <c r="B134" s="1">
        <v>15.5</v>
      </c>
    </row>
    <row r="135">
      <c r="A135" s="1">
        <v>291.64</v>
      </c>
      <c r="B135" s="1">
        <v>17.08</v>
      </c>
    </row>
    <row r="136">
      <c r="A136" s="1">
        <v>291.94</v>
      </c>
      <c r="B136" s="1">
        <v>16.19</v>
      </c>
    </row>
    <row r="137">
      <c r="A137" s="1">
        <v>293.6</v>
      </c>
      <c r="B137" s="1">
        <v>14.23</v>
      </c>
    </row>
    <row r="138">
      <c r="A138" s="1">
        <v>294.59</v>
      </c>
      <c r="B138" s="1">
        <v>18.81</v>
      </c>
    </row>
    <row r="139">
      <c r="A139" s="1">
        <v>294.94</v>
      </c>
      <c r="B139" s="1">
        <v>14.97</v>
      </c>
    </row>
    <row r="140">
      <c r="A140" s="1">
        <v>296.01</v>
      </c>
      <c r="B140" s="1">
        <v>14.86</v>
      </c>
    </row>
    <row r="141">
      <c r="A141" s="1">
        <v>296.15</v>
      </c>
      <c r="B141" s="1">
        <v>21.7</v>
      </c>
    </row>
    <row r="142">
      <c r="A142" s="1">
        <v>296.84</v>
      </c>
      <c r="B142" s="1">
        <v>12.41</v>
      </c>
    </row>
    <row r="143">
      <c r="A143" s="1">
        <v>298.81</v>
      </c>
      <c r="B143" s="1">
        <v>18.5</v>
      </c>
    </row>
    <row r="144">
      <c r="A144" s="1">
        <v>299.05</v>
      </c>
      <c r="B144" s="1">
        <v>17.19</v>
      </c>
    </row>
    <row r="145">
      <c r="A145" s="1">
        <v>299.59</v>
      </c>
      <c r="B145" s="1">
        <v>13.34</v>
      </c>
    </row>
    <row r="146">
      <c r="A146" s="1">
        <v>300.18</v>
      </c>
      <c r="B146" s="1">
        <v>17.58</v>
      </c>
    </row>
    <row r="147">
      <c r="A147" s="1">
        <v>300.46</v>
      </c>
      <c r="B147" s="1">
        <v>15.62</v>
      </c>
    </row>
    <row r="148">
      <c r="A148" s="1">
        <v>300.66</v>
      </c>
      <c r="B148" s="1">
        <v>14.03</v>
      </c>
    </row>
    <row r="149">
      <c r="A149" s="1">
        <v>300.67</v>
      </c>
      <c r="B149" s="1">
        <v>16.98</v>
      </c>
    </row>
    <row r="150">
      <c r="A150" s="1">
        <v>300.78</v>
      </c>
      <c r="B150" s="1">
        <v>21.49</v>
      </c>
    </row>
    <row r="151">
      <c r="A151" s="1">
        <v>302.36</v>
      </c>
      <c r="B151" s="1">
        <v>16.93</v>
      </c>
    </row>
    <row r="152">
      <c r="A152" s="1">
        <v>305.43</v>
      </c>
      <c r="B152" s="1">
        <v>23.68</v>
      </c>
    </row>
    <row r="153">
      <c r="A153" s="1">
        <v>310.53</v>
      </c>
      <c r="B153" s="1">
        <v>18.18</v>
      </c>
    </row>
    <row r="154">
      <c r="A154" s="1">
        <v>311.01</v>
      </c>
      <c r="B154" s="1">
        <v>22.47</v>
      </c>
    </row>
    <row r="155">
      <c r="A155" s="1">
        <v>311.29</v>
      </c>
      <c r="B155" s="1">
        <v>20.08</v>
      </c>
    </row>
    <row r="156">
      <c r="A156" s="1">
        <v>311.73</v>
      </c>
      <c r="B156" s="1">
        <v>24.82</v>
      </c>
    </row>
    <row r="157">
      <c r="A157" s="1">
        <v>314.8</v>
      </c>
      <c r="B157" s="1">
        <v>21.25</v>
      </c>
    </row>
    <row r="158">
      <c r="A158" s="1">
        <v>315.13</v>
      </c>
      <c r="B158" s="1">
        <v>21.56</v>
      </c>
    </row>
    <row r="159">
      <c r="A159" s="1">
        <v>315.56</v>
      </c>
      <c r="B159" s="1">
        <v>17.67</v>
      </c>
    </row>
    <row r="160">
      <c r="A160" s="1">
        <v>316.6</v>
      </c>
      <c r="B160" s="1">
        <v>23.24</v>
      </c>
    </row>
    <row r="161">
      <c r="A161" s="1">
        <v>317.19</v>
      </c>
      <c r="B161" s="1">
        <v>19.48</v>
      </c>
    </row>
    <row r="162">
      <c r="A162" s="1">
        <v>318.86</v>
      </c>
      <c r="B162" s="1">
        <v>24.17</v>
      </c>
    </row>
    <row r="163">
      <c r="A163" s="1">
        <v>319.2</v>
      </c>
      <c r="B163" s="1">
        <v>15.83</v>
      </c>
    </row>
    <row r="164">
      <c r="A164" s="1">
        <v>321.52</v>
      </c>
      <c r="B164" s="1">
        <v>21.09</v>
      </c>
    </row>
    <row r="165">
      <c r="A165" s="1">
        <v>323.95</v>
      </c>
      <c r="B165" s="1">
        <v>16.3</v>
      </c>
    </row>
    <row r="166">
      <c r="A166" s="1">
        <v>325.64</v>
      </c>
      <c r="B166" s="1">
        <v>18.23</v>
      </c>
    </row>
    <row r="167">
      <c r="A167" s="1">
        <v>325.86</v>
      </c>
      <c r="B167" s="1">
        <v>22.36</v>
      </c>
    </row>
    <row r="168">
      <c r="A168" s="1">
        <v>328.43</v>
      </c>
      <c r="B168" s="1">
        <v>25.48</v>
      </c>
    </row>
    <row r="169">
      <c r="A169" s="1">
        <v>330.57</v>
      </c>
      <c r="B169" s="1">
        <v>21.56</v>
      </c>
    </row>
    <row r="170">
      <c r="A170" s="1">
        <v>331.19</v>
      </c>
      <c r="B170" s="1">
        <v>14.41</v>
      </c>
    </row>
    <row r="171">
      <c r="A171" s="1">
        <v>331.19</v>
      </c>
      <c r="B171" s="1">
        <v>25.73</v>
      </c>
    </row>
    <row r="172">
      <c r="A172" s="1">
        <v>331.34</v>
      </c>
      <c r="B172" s="1">
        <v>18.34</v>
      </c>
    </row>
    <row r="173">
      <c r="A173" s="1">
        <v>332.2</v>
      </c>
      <c r="B173" s="1">
        <v>25.69</v>
      </c>
    </row>
    <row r="174">
      <c r="A174" s="1">
        <v>332.29</v>
      </c>
      <c r="B174" s="1">
        <v>16.48</v>
      </c>
    </row>
    <row r="175">
      <c r="A175" s="1">
        <v>333.17</v>
      </c>
      <c r="B175" s="1">
        <v>16.61</v>
      </c>
    </row>
    <row r="176">
      <c r="A176" s="1">
        <v>333.33</v>
      </c>
      <c r="B176" s="1">
        <v>18.74</v>
      </c>
    </row>
    <row r="177">
      <c r="A177" s="1">
        <v>333.93</v>
      </c>
      <c r="B177" s="1">
        <v>18.87</v>
      </c>
    </row>
    <row r="178">
      <c r="A178" s="1">
        <v>334.22</v>
      </c>
      <c r="B178" s="1">
        <v>19.12</v>
      </c>
    </row>
    <row r="179">
      <c r="A179" s="1">
        <v>334.64</v>
      </c>
      <c r="B179" s="1">
        <v>21.21</v>
      </c>
    </row>
    <row r="180">
      <c r="A180" s="1">
        <v>335.01</v>
      </c>
      <c r="B180" s="1">
        <v>18.72</v>
      </c>
    </row>
    <row r="181">
      <c r="A181" s="1">
        <v>335.93</v>
      </c>
      <c r="B181" s="1">
        <v>25.88</v>
      </c>
    </row>
    <row r="182">
      <c r="A182" s="1">
        <v>336.73</v>
      </c>
      <c r="B182" s="1">
        <v>22.82</v>
      </c>
    </row>
    <row r="183">
      <c r="A183" s="1">
        <v>336.9</v>
      </c>
      <c r="B183" s="1">
        <v>16.38</v>
      </c>
    </row>
    <row r="184">
      <c r="A184" s="1">
        <v>337.07</v>
      </c>
      <c r="B184" s="1">
        <v>20.33</v>
      </c>
    </row>
    <row r="185">
      <c r="A185" s="1">
        <v>339.22</v>
      </c>
      <c r="B185" s="1">
        <v>20.66</v>
      </c>
    </row>
    <row r="186">
      <c r="A186" s="1">
        <v>339.61</v>
      </c>
      <c r="B186" s="1">
        <v>24.9</v>
      </c>
    </row>
    <row r="187">
      <c r="A187" s="1">
        <v>339.61</v>
      </c>
      <c r="B187" s="1">
        <v>19.39</v>
      </c>
    </row>
    <row r="188">
      <c r="A188" s="1">
        <v>341.75</v>
      </c>
      <c r="B188" s="1">
        <v>17.38</v>
      </c>
    </row>
    <row r="189">
      <c r="A189" s="1">
        <v>342.28</v>
      </c>
      <c r="B189" s="1">
        <v>15.95</v>
      </c>
    </row>
    <row r="190">
      <c r="A190" s="1">
        <v>343.05</v>
      </c>
      <c r="B190" s="1">
        <v>16.95</v>
      </c>
    </row>
    <row r="191">
      <c r="A191" s="1">
        <v>345.75</v>
      </c>
      <c r="B191" s="1">
        <v>23.62</v>
      </c>
    </row>
    <row r="192">
      <c r="A192" s="1">
        <v>346.74</v>
      </c>
      <c r="B192" s="1">
        <v>19.22</v>
      </c>
    </row>
    <row r="193">
      <c r="A193" s="1">
        <v>347.35</v>
      </c>
      <c r="B193" s="1">
        <v>21.47</v>
      </c>
    </row>
    <row r="194">
      <c r="A194" s="1">
        <v>348.43</v>
      </c>
      <c r="B194" s="1">
        <v>16.67</v>
      </c>
    </row>
    <row r="195">
      <c r="A195" s="1">
        <v>349.56</v>
      </c>
      <c r="B195" s="1">
        <v>18.11</v>
      </c>
    </row>
    <row r="196">
      <c r="A196" s="1">
        <v>351.61</v>
      </c>
      <c r="B196" s="1">
        <v>18.18</v>
      </c>
    </row>
    <row r="197">
      <c r="A197" s="1">
        <v>352.91</v>
      </c>
      <c r="B197" s="1">
        <v>21.38</v>
      </c>
    </row>
    <row r="198">
      <c r="A198" s="1">
        <v>355.1</v>
      </c>
      <c r="B198" s="1">
        <v>19.34</v>
      </c>
    </row>
    <row r="199">
      <c r="A199" s="1">
        <v>358.38</v>
      </c>
      <c r="B199" s="1">
        <v>24.89</v>
      </c>
    </row>
    <row r="200">
      <c r="A200" s="1">
        <v>359.84</v>
      </c>
      <c r="B200" s="1">
        <v>19.39</v>
      </c>
    </row>
    <row r="201">
      <c r="A201" s="1">
        <v>360.68</v>
      </c>
      <c r="B201" s="1">
        <v>25.98</v>
      </c>
    </row>
    <row r="202">
      <c r="A202" s="1">
        <v>361.63</v>
      </c>
      <c r="B202" s="1">
        <v>22.17</v>
      </c>
    </row>
    <row r="203">
      <c r="A203" s="1">
        <v>364.53</v>
      </c>
      <c r="B203" s="1">
        <v>18.31</v>
      </c>
    </row>
    <row r="204">
      <c r="A204" s="1">
        <v>365.47</v>
      </c>
      <c r="B204" s="1">
        <v>22.4</v>
      </c>
    </row>
    <row r="205">
      <c r="A205" s="1">
        <v>366.88</v>
      </c>
      <c r="B205" s="1">
        <v>23.39</v>
      </c>
    </row>
    <row r="206">
      <c r="A206" s="1">
        <v>368.64</v>
      </c>
      <c r="B206" s="1">
        <v>21.82</v>
      </c>
    </row>
    <row r="207">
      <c r="A207" s="1">
        <v>369.71</v>
      </c>
      <c r="B207" s="1">
        <v>18.98</v>
      </c>
    </row>
    <row r="208">
      <c r="A208" s="1">
        <v>374.28</v>
      </c>
      <c r="B208" s="1">
        <v>23.05</v>
      </c>
    </row>
    <row r="209">
      <c r="A209" s="1">
        <v>375.75</v>
      </c>
      <c r="B209" s="1">
        <v>23.87</v>
      </c>
    </row>
    <row r="210">
      <c r="A210" s="1">
        <v>376.34</v>
      </c>
      <c r="B210" s="1">
        <v>21.56</v>
      </c>
    </row>
    <row r="211">
      <c r="A211" s="1">
        <v>381.42</v>
      </c>
      <c r="B211" s="1">
        <v>25.67</v>
      </c>
    </row>
    <row r="212">
      <c r="A212" s="1">
        <v>381.85</v>
      </c>
      <c r="B212" s="1">
        <v>22.42</v>
      </c>
    </row>
    <row r="213">
      <c r="A213" s="1">
        <v>384.26</v>
      </c>
      <c r="B213" s="1">
        <v>23.6</v>
      </c>
    </row>
    <row r="214">
      <c r="A214" s="1">
        <v>387.21</v>
      </c>
      <c r="B214" s="1">
        <v>18.99</v>
      </c>
    </row>
    <row r="215">
      <c r="A215" s="1">
        <v>387.56</v>
      </c>
      <c r="B215" s="1">
        <v>24.37</v>
      </c>
    </row>
    <row r="216">
      <c r="A216" s="1">
        <v>389.16</v>
      </c>
      <c r="B216" s="1">
        <v>19.93</v>
      </c>
    </row>
    <row r="217">
      <c r="A217" s="1">
        <v>390.14</v>
      </c>
      <c r="B217" s="1">
        <v>24.07</v>
      </c>
    </row>
    <row r="218">
      <c r="A218" s="1">
        <v>390.73</v>
      </c>
      <c r="B218" s="1">
        <v>23.01</v>
      </c>
    </row>
    <row r="219">
      <c r="A219" s="1">
        <v>391.41</v>
      </c>
      <c r="B219" s="1">
        <v>22.48</v>
      </c>
    </row>
    <row r="220">
      <c r="A220" s="1">
        <v>391.63</v>
      </c>
      <c r="B220" s="1">
        <v>22.83</v>
      </c>
    </row>
    <row r="221">
      <c r="A221" s="1">
        <v>392.57</v>
      </c>
      <c r="B221" s="1">
        <v>24.62</v>
      </c>
    </row>
    <row r="222">
      <c r="A222" s="1">
        <v>395.02</v>
      </c>
      <c r="B222" s="1">
        <v>21.95</v>
      </c>
    </row>
    <row r="223">
      <c r="A223" s="1">
        <v>396.88</v>
      </c>
      <c r="B223" s="1">
        <v>18.55</v>
      </c>
    </row>
  </sheetData>
  <mergeCells count="4">
    <mergeCell ref="D43:G43"/>
    <mergeCell ref="D44:E44"/>
    <mergeCell ref="D45:E45"/>
    <mergeCell ref="D46:E49"/>
  </mergeCells>
  <drawing r:id="rId1"/>
</worksheet>
</file>